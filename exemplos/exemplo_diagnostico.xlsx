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óstico" sheetId="1" state="visible" r:id="rId1"/>
    <sheet xmlns:r="http://schemas.openxmlformats.org/officeDocument/2006/relationships" name="Dívidas" sheetId="2" state="visible" r:id="rId2"/>
    <sheet xmlns:r="http://schemas.openxmlformats.org/officeDocument/2006/relationships" name="Estratég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</font>
    <font>
      <name val="Calibri"/>
    </font>
    <font>
      <name val="Calibri"/>
      <color rgb="000000FF"/>
    </font>
    <font>
      <name val="Calibri"/>
      <b val="1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164" fontId="4" fillId="3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devedor por dívida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'Dívidas'!C3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'Dívidas'!$A$4:$A$6</f>
            </numRef>
          </cat>
          <val>
            <numRef>
              <f>'Dívidas'!$C$4:$C$6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DIAGNÓSTICO FINANCEIRO</t>
        </is>
      </c>
    </row>
    <row r="3">
      <c r="A3" s="2" t="inlineStr">
        <is>
          <t>Renda líquida mensal</t>
        </is>
      </c>
      <c r="B3" s="3" t="n">
        <v>5000</v>
      </c>
    </row>
    <row r="4">
      <c r="A4" s="2" t="inlineStr">
        <is>
          <t>Despesas fixas</t>
        </is>
      </c>
      <c r="B4" s="3" t="n">
        <v>2200</v>
      </c>
    </row>
    <row r="5">
      <c r="A5" s="2" t="inlineStr">
        <is>
          <t>Despesas variáveis</t>
        </is>
      </c>
      <c r="B5" s="3" t="n">
        <v>800</v>
      </c>
    </row>
    <row r="6">
      <c r="A6" s="2" t="inlineStr">
        <is>
          <t>Reserva de emergência</t>
        </is>
      </c>
      <c r="B6" s="3" t="n">
        <v>0</v>
      </c>
    </row>
    <row r="7">
      <c r="A7" s="2" t="inlineStr">
        <is>
          <t>Saldo de FGTS</t>
        </is>
      </c>
      <c r="B7" s="3" t="n">
        <v>3000</v>
      </c>
    </row>
    <row r="8">
      <c r="A8" s="2" t="inlineStr">
        <is>
          <t>Total de parcelas/mês</t>
        </is>
      </c>
      <c r="B8" s="4">
        <f>SUM('Dívidas'!F4:F6)</f>
        <v/>
      </c>
    </row>
    <row r="9">
      <c r="A9" s="2" t="inlineStr">
        <is>
          <t>Despesas totais</t>
        </is>
      </c>
      <c r="B9" s="4">
        <f>B4+B5</f>
        <v/>
      </c>
    </row>
    <row r="10">
      <c r="A10" s="2" t="inlineStr">
        <is>
          <t>Fluxo de caixa (sobra/mês)</t>
        </is>
      </c>
      <c r="B10" s="4">
        <f>B3-B9-B8</f>
        <v/>
      </c>
    </row>
    <row r="11">
      <c r="A11" s="2" t="inlineStr">
        <is>
          <t>Saldo devedor total</t>
        </is>
      </c>
      <c r="B11" s="4">
        <f>SUM('Dívidas'!C4:C6)</f>
        <v/>
      </c>
    </row>
    <row r="12">
      <c r="A12" s="2" t="inlineStr">
        <is>
          <t>Comprometimento de renda</t>
        </is>
      </c>
      <c r="B12" s="5">
        <f>B8/B3</f>
        <v/>
      </c>
    </row>
    <row r="14">
      <c r="A14" s="6" t="inlineStr">
        <is>
          <t>Células em amarelo são entradas: altere-as e os indicadores recalculam automaticamente ao abrir no Excel.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14" customWidth="1" min="6" max="6"/>
    <col width="14" customWidth="1" min="7" max="7"/>
    <col width="20" customWidth="1" min="8" max="8"/>
    <col width="18" customWidth="1" min="9" max="9"/>
  </cols>
  <sheetData>
    <row r="1">
      <c r="A1" s="1" t="inlineStr">
        <is>
          <t>DÍVIDAS</t>
        </is>
      </c>
    </row>
    <row r="3">
      <c r="A3" s="7" t="inlineStr">
        <is>
          <t>Credor</t>
        </is>
      </c>
      <c r="B3" s="7" t="inlineStr">
        <is>
          <t>Tipo</t>
        </is>
      </c>
      <c r="C3" s="7" t="inlineStr">
        <is>
          <t>Saldo devedor</t>
        </is>
      </c>
      <c r="D3" s="7" t="inlineStr">
        <is>
          <t>Taxa a.m.</t>
        </is>
      </c>
      <c r="E3" s="7" t="inlineStr">
        <is>
          <t>Taxa a.a.</t>
        </is>
      </c>
      <c r="F3" s="7" t="inlineStr">
        <is>
          <t>Parcela</t>
        </is>
      </c>
      <c r="G3" s="7" t="inlineStr">
        <is>
          <t>Parc. restantes</t>
        </is>
      </c>
      <c r="H3" s="7" t="inlineStr">
        <is>
          <t>Custo total restante</t>
        </is>
      </c>
      <c r="I3" s="7" t="inlineStr">
        <is>
          <t>Juros restantes</t>
        </is>
      </c>
    </row>
    <row r="4">
      <c r="A4" s="8" t="inlineStr">
        <is>
          <t>Cartão Banco A</t>
        </is>
      </c>
      <c r="B4" s="8" t="inlineStr">
        <is>
          <t>Cartão de crédito</t>
        </is>
      </c>
      <c r="C4" s="9" t="n">
        <v>8000</v>
      </c>
      <c r="D4" s="10" t="n">
        <v>0.12</v>
      </c>
      <c r="E4" s="5">
        <f>(1+D4)^12-1</f>
        <v/>
      </c>
      <c r="F4" s="9" t="n">
        <v>900</v>
      </c>
      <c r="G4" s="11" t="n">
        <v>12</v>
      </c>
      <c r="H4" s="4">
        <f>F4*G4</f>
        <v/>
      </c>
      <c r="I4" s="4">
        <f>MAX(H4-C4,0)</f>
        <v/>
      </c>
    </row>
    <row r="5">
      <c r="A5" s="8" t="inlineStr">
        <is>
          <t>CDC Veículo</t>
        </is>
      </c>
      <c r="B5" s="8" t="inlineStr">
        <is>
          <t>CDC (Crédito Direto ao Consumidor)</t>
        </is>
      </c>
      <c r="C5" s="9" t="n">
        <v>20000</v>
      </c>
      <c r="D5" s="10" t="n">
        <v>0.025</v>
      </c>
      <c r="E5" s="5">
        <f>(1+D5)^12-1</f>
        <v/>
      </c>
      <c r="F5" s="9" t="n">
        <v>700</v>
      </c>
      <c r="G5" s="11" t="n">
        <v>36</v>
      </c>
      <c r="H5" s="4">
        <f>F5*G5</f>
        <v/>
      </c>
      <c r="I5" s="4">
        <f>MAX(H5-C5,0)</f>
        <v/>
      </c>
    </row>
    <row r="6">
      <c r="A6" s="8" t="inlineStr">
        <is>
          <t>Consignado Servidor</t>
        </is>
      </c>
      <c r="B6" s="8" t="inlineStr">
        <is>
          <t>Consignado</t>
        </is>
      </c>
      <c r="C6" s="9" t="n">
        <v>6000</v>
      </c>
      <c r="D6" s="10" t="n">
        <v>0.018</v>
      </c>
      <c r="E6" s="5">
        <f>(1+D6)^12-1</f>
        <v/>
      </c>
      <c r="F6" s="9" t="n">
        <v>350</v>
      </c>
      <c r="G6" s="11" t="n">
        <v>20</v>
      </c>
      <c r="H6" s="4">
        <f>F6*G6</f>
        <v/>
      </c>
      <c r="I6" s="4">
        <f>MAX(H6-C6,0)</f>
        <v/>
      </c>
    </row>
    <row r="7">
      <c r="B7" s="2" t="inlineStr">
        <is>
          <t>TOTAL</t>
        </is>
      </c>
      <c r="C7" s="12">
        <f>SUM(C4:C6)</f>
        <v/>
      </c>
      <c r="F7" s="12">
        <f>SUM(F4:F6)</f>
        <v/>
      </c>
      <c r="H7" s="12">
        <f>SUM(H4:H6)</f>
        <v/>
      </c>
      <c r="I7" s="12">
        <f>SUM(I4:I6)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ESTRATÉGIAS DE QUITAÇÃO</t>
        </is>
      </c>
    </row>
    <row r="3">
      <c r="A3" s="2" t="inlineStr">
        <is>
          <t>Pagamento extra considerado por mês:</t>
        </is>
      </c>
      <c r="B3" s="9" t="n">
        <v>500</v>
      </c>
    </row>
    <row r="5">
      <c r="A5" s="13" t="inlineStr">
        <is>
          <t>Método</t>
        </is>
      </c>
      <c r="B5" s="13" t="inlineStr">
        <is>
          <t>Meses até quitar</t>
        </is>
      </c>
      <c r="C5" s="13" t="inlineStr">
        <is>
          <t>Total de juros pagos</t>
        </is>
      </c>
      <c r="D5" s="13" t="inlineStr">
        <is>
          <t>Ordem de ataque</t>
        </is>
      </c>
      <c r="E5" s="13" t="n"/>
    </row>
    <row r="6">
      <c r="A6" t="inlineStr">
        <is>
          <t>Avalanche (maior juro primeiro)</t>
        </is>
      </c>
      <c r="B6" t="n">
        <v>28</v>
      </c>
      <c r="C6" s="14" t="n">
        <v>16659.33</v>
      </c>
      <c r="D6" t="inlineStr">
        <is>
          <t>Cartão Banco A → CDC Veículo → Consignado Servidor</t>
        </is>
      </c>
    </row>
    <row r="7">
      <c r="A7" t="inlineStr">
        <is>
          <t>Bola de neve (menor saldo primeiro)</t>
        </is>
      </c>
      <c r="B7" t="n">
        <v>34</v>
      </c>
      <c r="C7" s="14" t="n">
        <v>27398.34</v>
      </c>
      <c r="D7" t="inlineStr">
        <is>
          <t>Consignado Servidor → Cartão Banco A → CDC Veículo</t>
        </is>
      </c>
    </row>
    <row r="8">
      <c r="A8" s="2" t="inlineStr">
        <is>
          <t>Portabilidade — economia se migrar para 1.80% a.m.</t>
        </is>
      </c>
    </row>
    <row r="10">
      <c r="A10" s="13" t="inlineStr">
        <is>
          <t>Credor</t>
        </is>
      </c>
      <c r="B10" s="13" t="inlineStr">
        <is>
          <t>Tipo</t>
        </is>
      </c>
      <c r="C10" s="13" t="inlineStr">
        <is>
          <t>Parcela atual</t>
        </is>
      </c>
      <c r="D10" s="13" t="inlineStr">
        <is>
          <t>Parcela nova</t>
        </is>
      </c>
      <c r="E10" s="13" t="inlineStr">
        <is>
          <t>Economia total</t>
        </is>
      </c>
    </row>
    <row r="11">
      <c r="A11" t="inlineStr">
        <is>
          <t>Cartão Banco A</t>
        </is>
      </c>
      <c r="B11" t="inlineStr">
        <is>
          <t>Cartão de crédito</t>
        </is>
      </c>
      <c r="C11" s="14" t="n">
        <v>1291.49</v>
      </c>
      <c r="D11" s="14" t="n">
        <v>747.22</v>
      </c>
      <c r="E11" s="14" t="n">
        <v>6531.34</v>
      </c>
    </row>
    <row r="12">
      <c r="A12" t="inlineStr">
        <is>
          <t>CDC Veículo</t>
        </is>
      </c>
      <c r="B12" t="inlineStr">
        <is>
          <t>CDC (Crédito Direto ao Consumidor)</t>
        </is>
      </c>
      <c r="C12" s="14" t="n">
        <v>849.03</v>
      </c>
      <c r="D12" s="14" t="n">
        <v>759.6799999999999</v>
      </c>
      <c r="E12" s="14" t="n">
        <v>3216.78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2026-07-03T20:06:48Z</dcterms:created>
  <dcterms:modified xmlns:dcterms="http://purl.org/dc/terms/" xmlns:xsi="http://www.w3.org/2001/XMLSchema-instance" xsi:type="dcterms:W3CDTF">2026-07-03T20:06:48Z</dcterms:modified>
</cp:coreProperties>
</file>